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omponents" sheetId="2" state="visible" r:id="rId4"/>
    <sheet name="Laponite-bCD-PEG" sheetId="3" state="visible" r:id="rId5"/>
    <sheet name="Silica-aCD-PEG" sheetId="4" state="visible" r:id="rId6"/>
    <sheet name="MMT-CB8-two guests" sheetId="5" state="visible" r:id="rId7"/>
    <sheet name="Mixed fillers-ho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Formula: 100 - all other components. Type a number over it if you prefer to enter water yourself.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Formula: 100 - all other components. Type a number over it if you prefer to enter water yourself.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Formula: 100 - all other components. Type a number over it if you prefer to enter water yourself.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Formula: 100 - all other components. Type a number over it if you prefer to enter water yourself.</t>
        </r>
      </text>
    </comment>
  </commentList>
</comments>
</file>

<file path=xl/sharedStrings.xml><?xml version="1.0" encoding="utf-8"?>
<sst xmlns="http://schemas.openxmlformats.org/spreadsheetml/2006/main" count="188" uniqueCount="120">
  <si>
    <t xml:space="preserve">Mock hydrogel data (practice workbook)</t>
  </si>
  <si>
    <t xml:space="preserve">All numbers here are made up - replace them with your own.</t>
  </si>
  <si>
    <t xml:space="preserve">Tabs</t>
  </si>
  <si>
    <t xml:space="preserve">components - every ingredient used in any tab and its role (water, filler, host, guest, other).</t>
  </si>
  <si>
    <t xml:space="preserve">Each other tab is one hydrogel system with its own components. Rows are samples, amounts are wt %.</t>
  </si>
  <si>
    <t xml:space="preserve">Colors</t>
  </si>
  <si>
    <t xml:space="preserve">Blue text = values you type or change.</t>
  </si>
  <si>
    <t xml:space="preserve">Black text on light blue = water, calculated as 100 - everything else.</t>
  </si>
  <si>
    <t xml:space="preserve">Adding things</t>
  </si>
  <si>
    <t xml:space="preserve">New sample: copy a row, change the name and amounts (water updates itself).</t>
  </si>
  <si>
    <t xml:space="preserve">New component: add a column to the tab, then add a row with its name and role on the components tab. Widen the water formula's SUM range to include the new column.</t>
  </si>
  <si>
    <t xml:space="preserve">New system: copy a tab, rename it, and change the column headers.</t>
  </si>
  <si>
    <t xml:space="preserve">New measured property: add a column after the components (numbers, TRUE/FALSE or text).</t>
  </si>
  <si>
    <t xml:space="preserve">Using it in the Diagram Maker</t>
  </si>
  <si>
    <t xml:space="preserve">Upload this file in the sidebar, then choose a tab under 'Which tab?' - or 'All tabs combined' to compare systems (a 'dataset' column says which tab each sample came from).</t>
  </si>
  <si>
    <t xml:space="preserve">name</t>
  </si>
  <si>
    <t xml:space="preserve">role</t>
  </si>
  <si>
    <t xml:space="preserve">color</t>
  </si>
  <si>
    <t xml:space="preserve">notes</t>
  </si>
  <si>
    <t xml:space="preserve">water</t>
  </si>
  <si>
    <t xml:space="preserve">#56B4E9</t>
  </si>
  <si>
    <t xml:space="preserve">Always the solvent; one water column per tab</t>
  </si>
  <si>
    <t xml:space="preserve">Laponite XLG</t>
  </si>
  <si>
    <t xml:space="preserve">filler</t>
  </si>
  <si>
    <t xml:space="preserve">#E69F00</t>
  </si>
  <si>
    <t xml:space="preserve">Synthetic hectorite clay</t>
  </si>
  <si>
    <t xml:space="preserve">silica NP</t>
  </si>
  <si>
    <t xml:space="preserve">#D55E00</t>
  </si>
  <si>
    <t xml:space="preserve">~20 nm silica nanoparticles</t>
  </si>
  <si>
    <t xml:space="preserve">MMT</t>
  </si>
  <si>
    <t xml:space="preserve">#8C564B</t>
  </si>
  <si>
    <t xml:space="preserve">Montmorillonite clay</t>
  </si>
  <si>
    <t xml:space="preserve">CNC</t>
  </si>
  <si>
    <t xml:space="preserve">#BCBD22</t>
  </si>
  <si>
    <t xml:space="preserve">Cellulose nanocrystals</t>
  </si>
  <si>
    <t xml:space="preserve">beta-CD</t>
  </si>
  <si>
    <t xml:space="preserve">host</t>
  </si>
  <si>
    <t xml:space="preserve">#009E73</t>
  </si>
  <si>
    <t xml:space="preserve">beta-cyclodextrin</t>
  </si>
  <si>
    <t xml:space="preserve">alpha-CD</t>
  </si>
  <si>
    <t xml:space="preserve">#CC79A7</t>
  </si>
  <si>
    <t xml:space="preserve">alpha-cyclodextrin</t>
  </si>
  <si>
    <t xml:space="preserve">CB[8]</t>
  </si>
  <si>
    <t xml:space="preserve">#17BECF</t>
  </si>
  <si>
    <t xml:space="preserve">Cucurbit[8]uril</t>
  </si>
  <si>
    <t xml:space="preserve">PEG-Ad</t>
  </si>
  <si>
    <t xml:space="preserve">guest</t>
  </si>
  <si>
    <t xml:space="preserve">#0072B2</t>
  </si>
  <si>
    <t xml:space="preserve">Adamantane-end-capped PEG</t>
  </si>
  <si>
    <t xml:space="preserve">PEG 20k</t>
  </si>
  <si>
    <t xml:space="preserve">#4C72B0</t>
  </si>
  <si>
    <t xml:space="preserve">Linear PEG, 20 kg/mol</t>
  </si>
  <si>
    <t xml:space="preserve">PVA-Np</t>
  </si>
  <si>
    <t xml:space="preserve">#9467BD</t>
  </si>
  <si>
    <t xml:space="preserve">PVA with naphthyl side groups</t>
  </si>
  <si>
    <t xml:space="preserve">PVA-MV</t>
  </si>
  <si>
    <t xml:space="preserve">#E377C2</t>
  </si>
  <si>
    <t xml:space="preserve">PVA with methyl viologen side groups</t>
  </si>
  <si>
    <t xml:space="preserve">PAAm-Ad</t>
  </si>
  <si>
    <t xml:space="preserve">#1F77B4</t>
  </si>
  <si>
    <t xml:space="preserve">Polyacrylamide with adamantane groups</t>
  </si>
  <si>
    <t xml:space="preserve">glycerol</t>
  </si>
  <si>
    <t xml:space="preserve">other</t>
  </si>
  <si>
    <t xml:space="preserve">#7F7F7F</t>
  </si>
  <si>
    <t xml:space="preserve">Co-solvent / plasticiser</t>
  </si>
  <si>
    <t xml:space="preserve">sample</t>
  </si>
  <si>
    <t xml:space="preserve">G' (kPa)</t>
  </si>
  <si>
    <t xml:space="preserve">swelling ratio</t>
  </si>
  <si>
    <t xml:space="preserve">gelled</t>
  </si>
  <si>
    <t xml:space="preserve">LAP-01</t>
  </si>
  <si>
    <t xml:space="preserve">flowed when inverted</t>
  </si>
  <si>
    <t xml:space="preserve">LAP-02</t>
  </si>
  <si>
    <t xml:space="preserve">LAP-03</t>
  </si>
  <si>
    <t xml:space="preserve">LAP-04</t>
  </si>
  <si>
    <t xml:space="preserve">LAP-05</t>
  </si>
  <si>
    <t xml:space="preserve">LAP-06</t>
  </si>
  <si>
    <t xml:space="preserve">LAP-07</t>
  </si>
  <si>
    <t xml:space="preserve">LAP-08</t>
  </si>
  <si>
    <t xml:space="preserve">LAP-09</t>
  </si>
  <si>
    <t xml:space="preserve">LAP-10</t>
  </si>
  <si>
    <t xml:space="preserve">LAP-11</t>
  </si>
  <si>
    <t xml:space="preserve">LAP-12</t>
  </si>
  <si>
    <t xml:space="preserve">gel time (min)</t>
  </si>
  <si>
    <t xml:space="preserve">SIL-01</t>
  </si>
  <si>
    <t xml:space="preserve">SIL-02</t>
  </si>
  <si>
    <t xml:space="preserve">SIL-03</t>
  </si>
  <si>
    <t xml:space="preserve">SIL-04</t>
  </si>
  <si>
    <t xml:space="preserve">SIL-05</t>
  </si>
  <si>
    <t xml:space="preserve">SIL-06</t>
  </si>
  <si>
    <t xml:space="preserve">SIL-07</t>
  </si>
  <si>
    <t xml:space="preserve">SIL-08</t>
  </si>
  <si>
    <t xml:space="preserve">SIL-09</t>
  </si>
  <si>
    <t xml:space="preserve">SIL-10</t>
  </si>
  <si>
    <t xml:space="preserve">SIL-11</t>
  </si>
  <si>
    <t xml:space="preserve">SIL-12</t>
  </si>
  <si>
    <t xml:space="preserve">self-healing (%)</t>
  </si>
  <si>
    <t xml:space="preserve">MMT-01</t>
  </si>
  <si>
    <t xml:space="preserve">MMT-02</t>
  </si>
  <si>
    <t xml:space="preserve">MMT-03</t>
  </si>
  <si>
    <t xml:space="preserve">MMT-04</t>
  </si>
  <si>
    <t xml:space="preserve">MMT-05</t>
  </si>
  <si>
    <t xml:space="preserve">MMT-06</t>
  </si>
  <si>
    <t xml:space="preserve">MMT-07</t>
  </si>
  <si>
    <t xml:space="preserve">MMT-08</t>
  </si>
  <si>
    <t xml:space="preserve">MMT-09</t>
  </si>
  <si>
    <t xml:space="preserve">MMT-10</t>
  </si>
  <si>
    <t xml:space="preserve">MMT-11</t>
  </si>
  <si>
    <t xml:space="preserve">MMT-12</t>
  </si>
  <si>
    <t xml:space="preserve">MIX-01</t>
  </si>
  <si>
    <t xml:space="preserve">MIX-02</t>
  </si>
  <si>
    <t xml:space="preserve">MIX-03</t>
  </si>
  <si>
    <t xml:space="preserve">MIX-04</t>
  </si>
  <si>
    <t xml:space="preserve">MIX-05</t>
  </si>
  <si>
    <t xml:space="preserve">MIX-06</t>
  </si>
  <si>
    <t xml:space="preserve">MIX-07</t>
  </si>
  <si>
    <t xml:space="preserve">MIX-08</t>
  </si>
  <si>
    <t xml:space="preserve">MIX-09</t>
  </si>
  <si>
    <t xml:space="preserve">MIX-10</t>
  </si>
  <si>
    <t xml:space="preserve">MIX-11</t>
  </si>
  <si>
    <t xml:space="preserve">MIX-12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</si>
</sst>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26.85" hidden="false" customHeight="false" outlineLevel="0" collapsed="false">
      <c r="A19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45"/>
  </cols>
  <sheetData>
    <row r="1" customFormat="false" ht="30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</row>
    <row r="2" customFormat="false" ht="15" hidden="false" customHeight="false" outlineLevel="0" collapsed="false">
      <c r="A2" s="7" t="s">
        <v>19</v>
      </c>
      <c r="B2" s="7" t="s">
        <v>19</v>
      </c>
      <c r="C2" s="7" t="s">
        <v>20</v>
      </c>
      <c r="D2" s="7" t="s">
        <v>21</v>
      </c>
    </row>
    <row r="3" customFormat="false" ht="15" hidden="false" customHeight="false" outlineLevel="0" collapsed="false">
      <c r="A3" s="7" t="s">
        <v>22</v>
      </c>
      <c r="B3" s="7" t="s">
        <v>23</v>
      </c>
      <c r="C3" s="7" t="s">
        <v>24</v>
      </c>
      <c r="D3" s="7" t="s">
        <v>25</v>
      </c>
    </row>
    <row r="4" customFormat="false" ht="15" hidden="false" customHeight="false" outlineLevel="0" collapsed="false">
      <c r="A4" s="7" t="s">
        <v>26</v>
      </c>
      <c r="B4" s="7" t="s">
        <v>23</v>
      </c>
      <c r="C4" s="7" t="s">
        <v>27</v>
      </c>
      <c r="D4" s="7" t="s">
        <v>28</v>
      </c>
    </row>
    <row r="5" customFormat="false" ht="15" hidden="false" customHeight="false" outlineLevel="0" collapsed="false">
      <c r="A5" s="7" t="s">
        <v>29</v>
      </c>
      <c r="B5" s="7" t="s">
        <v>23</v>
      </c>
      <c r="C5" s="7" t="s">
        <v>30</v>
      </c>
      <c r="D5" s="7" t="s">
        <v>31</v>
      </c>
    </row>
    <row r="6" customFormat="false" ht="15" hidden="false" customHeight="false" outlineLevel="0" collapsed="false">
      <c r="A6" s="7" t="s">
        <v>32</v>
      </c>
      <c r="B6" s="7" t="s">
        <v>23</v>
      </c>
      <c r="C6" s="7" t="s">
        <v>33</v>
      </c>
      <c r="D6" s="7" t="s">
        <v>34</v>
      </c>
    </row>
    <row r="7" customFormat="false" ht="15" hidden="false" customHeight="false" outlineLevel="0" collapsed="false">
      <c r="A7" s="7" t="s">
        <v>35</v>
      </c>
      <c r="B7" s="7" t="s">
        <v>36</v>
      </c>
      <c r="C7" s="7" t="s">
        <v>37</v>
      </c>
      <c r="D7" s="7" t="s">
        <v>38</v>
      </c>
    </row>
    <row r="8" customFormat="false" ht="15" hidden="false" customHeight="false" outlineLevel="0" collapsed="false">
      <c r="A8" s="7" t="s">
        <v>39</v>
      </c>
      <c r="B8" s="7" t="s">
        <v>36</v>
      </c>
      <c r="C8" s="7" t="s">
        <v>40</v>
      </c>
      <c r="D8" s="7" t="s">
        <v>41</v>
      </c>
    </row>
    <row r="9" customFormat="false" ht="15" hidden="false" customHeight="false" outlineLevel="0" collapsed="false">
      <c r="A9" s="7" t="s">
        <v>42</v>
      </c>
      <c r="B9" s="7" t="s">
        <v>36</v>
      </c>
      <c r="C9" s="7" t="s">
        <v>43</v>
      </c>
      <c r="D9" s="7" t="s">
        <v>44</v>
      </c>
    </row>
    <row r="10" customFormat="false" ht="15" hidden="false" customHeight="false" outlineLevel="0" collapsed="false">
      <c r="A10" s="7" t="s">
        <v>45</v>
      </c>
      <c r="B10" s="7" t="s">
        <v>46</v>
      </c>
      <c r="C10" s="7" t="s">
        <v>47</v>
      </c>
      <c r="D10" s="7" t="s">
        <v>48</v>
      </c>
    </row>
    <row r="11" customFormat="false" ht="15" hidden="false" customHeight="false" outlineLevel="0" collapsed="false">
      <c r="A11" s="7" t="s">
        <v>49</v>
      </c>
      <c r="B11" s="7" t="s">
        <v>46</v>
      </c>
      <c r="C11" s="7" t="s">
        <v>50</v>
      </c>
      <c r="D11" s="7" t="s">
        <v>51</v>
      </c>
    </row>
    <row r="12" customFormat="false" ht="15" hidden="false" customHeight="false" outlineLevel="0" collapsed="false">
      <c r="A12" s="7" t="s">
        <v>52</v>
      </c>
      <c r="B12" s="7" t="s">
        <v>46</v>
      </c>
      <c r="C12" s="7" t="s">
        <v>53</v>
      </c>
      <c r="D12" s="7" t="s">
        <v>54</v>
      </c>
    </row>
    <row r="13" customFormat="false" ht="15" hidden="false" customHeight="false" outlineLevel="0" collapsed="false">
      <c r="A13" s="7" t="s">
        <v>55</v>
      </c>
      <c r="B13" s="7" t="s">
        <v>46</v>
      </c>
      <c r="C13" s="7" t="s">
        <v>56</v>
      </c>
      <c r="D13" s="7" t="s">
        <v>57</v>
      </c>
    </row>
    <row r="14" customFormat="false" ht="15" hidden="false" customHeight="false" outlineLevel="0" collapsed="false">
      <c r="A14" s="7" t="s">
        <v>58</v>
      </c>
      <c r="B14" s="7" t="s">
        <v>46</v>
      </c>
      <c r="C14" s="7" t="s">
        <v>59</v>
      </c>
      <c r="D14" s="7" t="s">
        <v>60</v>
      </c>
    </row>
    <row r="15" customFormat="false" ht="15" hidden="false" customHeight="false" outlineLevel="0" collapsed="false">
      <c r="A15" s="7" t="s">
        <v>61</v>
      </c>
      <c r="B15" s="7" t="s">
        <v>62</v>
      </c>
      <c r="C15" s="7" t="s">
        <v>63</v>
      </c>
      <c r="D15" s="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5"/>
    <col collapsed="false" customWidth="true" hidden="false" outlineLevel="0" max="9" min="9" style="0" width="22"/>
  </cols>
  <sheetData>
    <row r="1" customFormat="false" ht="30" hidden="false" customHeight="true" outlineLevel="0" collapsed="false">
      <c r="A1" s="6" t="s">
        <v>65</v>
      </c>
      <c r="B1" s="6" t="s">
        <v>19</v>
      </c>
      <c r="C1" s="6" t="s">
        <v>22</v>
      </c>
      <c r="D1" s="6" t="s">
        <v>35</v>
      </c>
      <c r="E1" s="6" t="s">
        <v>45</v>
      </c>
      <c r="F1" s="6" t="s">
        <v>66</v>
      </c>
      <c r="G1" s="6" t="s">
        <v>67</v>
      </c>
      <c r="H1" s="6" t="s">
        <v>68</v>
      </c>
      <c r="I1" s="6" t="s">
        <v>18</v>
      </c>
    </row>
    <row r="2" customFormat="false" ht="15" hidden="false" customHeight="false" outlineLevel="0" collapsed="false">
      <c r="A2" s="7" t="s">
        <v>69</v>
      </c>
      <c r="B2" s="8" t="n">
        <f aca="false">100-SUM(C2:E2)</f>
        <v>92.28</v>
      </c>
      <c r="C2" s="9" t="n">
        <v>2.87</v>
      </c>
      <c r="D2" s="9" t="n">
        <v>1.68</v>
      </c>
      <c r="E2" s="9" t="n">
        <v>3.17</v>
      </c>
      <c r="F2" s="7" t="n">
        <v>1.28</v>
      </c>
      <c r="G2" s="7" t="n">
        <v>10.3</v>
      </c>
      <c r="H2" s="10" t="b">
        <f aca="false">FALSE()</f>
        <v>0</v>
      </c>
      <c r="I2" s="7" t="s">
        <v>70</v>
      </c>
    </row>
    <row r="3" customFormat="false" ht="15" hidden="false" customHeight="false" outlineLevel="0" collapsed="false">
      <c r="A3" s="7" t="s">
        <v>71</v>
      </c>
      <c r="B3" s="8" t="n">
        <f aca="false">100-SUM(C3:E3)</f>
        <v>94.21</v>
      </c>
      <c r="C3" s="9" t="n">
        <v>0.78</v>
      </c>
      <c r="D3" s="9" t="n">
        <v>1.49</v>
      </c>
      <c r="E3" s="9" t="n">
        <v>3.52</v>
      </c>
      <c r="F3" s="7" t="n">
        <v>0.48</v>
      </c>
      <c r="G3" s="7" t="n">
        <v>14.4</v>
      </c>
      <c r="H3" s="10" t="b">
        <f aca="false">FALSE()</f>
        <v>0</v>
      </c>
      <c r="I3" s="7" t="s">
        <v>70</v>
      </c>
    </row>
    <row r="4" customFormat="false" ht="15" hidden="false" customHeight="false" outlineLevel="0" collapsed="false">
      <c r="A4" s="7" t="s">
        <v>72</v>
      </c>
      <c r="B4" s="8" t="n">
        <f aca="false">100-SUM(C4:E4)</f>
        <v>94.49</v>
      </c>
      <c r="C4" s="9" t="n">
        <v>0.87</v>
      </c>
      <c r="D4" s="9" t="n">
        <v>3.61</v>
      </c>
      <c r="E4" s="9" t="n">
        <v>1.03</v>
      </c>
      <c r="F4" s="7" t="n">
        <v>0.5</v>
      </c>
      <c r="G4" s="7" t="n">
        <v>20.9</v>
      </c>
      <c r="H4" s="10" t="b">
        <f aca="false">FALSE()</f>
        <v>0</v>
      </c>
      <c r="I4" s="7" t="s">
        <v>70</v>
      </c>
    </row>
    <row r="5" customFormat="false" ht="15" hidden="false" customHeight="false" outlineLevel="0" collapsed="false">
      <c r="A5" s="7" t="s">
        <v>73</v>
      </c>
      <c r="B5" s="8" t="n">
        <f aca="false">100-SUM(C5:E5)</f>
        <v>92.68</v>
      </c>
      <c r="C5" s="9" t="n">
        <v>2.59</v>
      </c>
      <c r="D5" s="9" t="n">
        <v>2.29</v>
      </c>
      <c r="E5" s="9" t="n">
        <v>2.44</v>
      </c>
      <c r="F5" s="7" t="n">
        <v>1.05</v>
      </c>
      <c r="G5" s="7" t="n">
        <v>4.1</v>
      </c>
      <c r="H5" s="10" t="b">
        <f aca="false">FALSE()</f>
        <v>0</v>
      </c>
      <c r="I5" s="7" t="s">
        <v>70</v>
      </c>
    </row>
    <row r="6" customFormat="false" ht="15" hidden="false" customHeight="false" outlineLevel="0" collapsed="false">
      <c r="A6" s="7" t="s">
        <v>74</v>
      </c>
      <c r="B6" s="8" t="n">
        <f aca="false">100-SUM(C6:E6)</f>
        <v>90.09</v>
      </c>
      <c r="C6" s="9" t="n">
        <v>1.25</v>
      </c>
      <c r="D6" s="9" t="n">
        <v>2.01</v>
      </c>
      <c r="E6" s="9" t="n">
        <v>6.65</v>
      </c>
      <c r="F6" s="7" t="n">
        <v>13.15</v>
      </c>
      <c r="G6" s="7" t="n">
        <v>6.4</v>
      </c>
      <c r="H6" s="10" t="b">
        <f aca="false">TRUE()</f>
        <v>1</v>
      </c>
      <c r="I6" s="7"/>
    </row>
    <row r="7" customFormat="false" ht="15" hidden="false" customHeight="false" outlineLevel="0" collapsed="false">
      <c r="A7" s="7" t="s">
        <v>75</v>
      </c>
      <c r="B7" s="8" t="n">
        <f aca="false">100-SUM(C7:E7)</f>
        <v>90.19</v>
      </c>
      <c r="C7" s="9" t="n">
        <v>1.42</v>
      </c>
      <c r="D7" s="9" t="n">
        <v>5.39</v>
      </c>
      <c r="E7" s="9" t="n">
        <v>3</v>
      </c>
      <c r="F7" s="7" t="n">
        <v>15.23</v>
      </c>
      <c r="G7" s="7" t="n">
        <v>9.1</v>
      </c>
      <c r="H7" s="10" t="b">
        <f aca="false">TRUE()</f>
        <v>1</v>
      </c>
      <c r="I7" s="7"/>
    </row>
    <row r="8" customFormat="false" ht="15" hidden="false" customHeight="false" outlineLevel="0" collapsed="false">
      <c r="A8" s="7" t="s">
        <v>76</v>
      </c>
      <c r="B8" s="8" t="n">
        <f aca="false">100-SUM(C8:E8)</f>
        <v>92.71</v>
      </c>
      <c r="C8" s="9" t="n">
        <v>3.64</v>
      </c>
      <c r="D8" s="9" t="n">
        <v>0.93</v>
      </c>
      <c r="E8" s="9" t="n">
        <v>2.72</v>
      </c>
      <c r="F8" s="7" t="n">
        <v>1.28</v>
      </c>
      <c r="G8" s="7" t="n">
        <v>7.9</v>
      </c>
      <c r="H8" s="10" t="b">
        <f aca="false">FALSE()</f>
        <v>0</v>
      </c>
      <c r="I8" s="7" t="s">
        <v>70</v>
      </c>
    </row>
    <row r="9" customFormat="false" ht="15" hidden="false" customHeight="false" outlineLevel="0" collapsed="false">
      <c r="A9" s="7" t="s">
        <v>77</v>
      </c>
      <c r="B9" s="8" t="n">
        <f aca="false">100-SUM(C9:E9)</f>
        <v>89.67</v>
      </c>
      <c r="C9" s="9" t="n">
        <v>1.8</v>
      </c>
      <c r="D9" s="9" t="n">
        <v>5.09</v>
      </c>
      <c r="E9" s="9" t="n">
        <v>3.44</v>
      </c>
      <c r="F9" s="7" t="n">
        <v>20.36</v>
      </c>
      <c r="G9" s="7" t="n">
        <v>4.6</v>
      </c>
      <c r="H9" s="10" t="b">
        <f aca="false">TRUE()</f>
        <v>1</v>
      </c>
      <c r="I9" s="7"/>
    </row>
    <row r="10" customFormat="false" ht="15" hidden="false" customHeight="false" outlineLevel="0" collapsed="false">
      <c r="A10" s="7" t="s">
        <v>78</v>
      </c>
      <c r="B10" s="8" t="n">
        <f aca="false">100-SUM(C10:E10)</f>
        <v>93.01</v>
      </c>
      <c r="C10" s="9" t="n">
        <v>1.68</v>
      </c>
      <c r="D10" s="9" t="n">
        <v>2.38</v>
      </c>
      <c r="E10" s="9" t="n">
        <v>2.93</v>
      </c>
      <c r="F10" s="7" t="n">
        <v>11.18</v>
      </c>
      <c r="G10" s="7" t="n">
        <v>9.3</v>
      </c>
      <c r="H10" s="10" t="b">
        <f aca="false">TRUE()</f>
        <v>1</v>
      </c>
      <c r="I10" s="7"/>
    </row>
    <row r="11" customFormat="false" ht="15" hidden="false" customHeight="false" outlineLevel="0" collapsed="false">
      <c r="A11" s="7" t="s">
        <v>79</v>
      </c>
      <c r="B11" s="8" t="n">
        <f aca="false">100-SUM(C11:E11)</f>
        <v>90.41</v>
      </c>
      <c r="C11" s="9" t="n">
        <v>1.21</v>
      </c>
      <c r="D11" s="9" t="n">
        <v>3.28</v>
      </c>
      <c r="E11" s="9" t="n">
        <v>5.1</v>
      </c>
      <c r="F11" s="7" t="n">
        <v>12.36</v>
      </c>
      <c r="G11" s="7" t="n">
        <v>8.7</v>
      </c>
      <c r="H11" s="10" t="b">
        <f aca="false">TRUE()</f>
        <v>1</v>
      </c>
      <c r="I11" s="7"/>
    </row>
    <row r="12" customFormat="false" ht="15" hidden="false" customHeight="false" outlineLevel="0" collapsed="false">
      <c r="A12" s="7" t="s">
        <v>80</v>
      </c>
      <c r="B12" s="8" t="n">
        <f aca="false">100-SUM(C12:E12)</f>
        <v>89.82</v>
      </c>
      <c r="C12" s="9" t="n">
        <v>1.64</v>
      </c>
      <c r="D12" s="9" t="n">
        <v>3.35</v>
      </c>
      <c r="E12" s="9" t="n">
        <v>5.19</v>
      </c>
      <c r="F12" s="7" t="n">
        <v>16.31</v>
      </c>
      <c r="G12" s="7" t="n">
        <v>5.1</v>
      </c>
      <c r="H12" s="10" t="b">
        <f aca="false">TRUE()</f>
        <v>1</v>
      </c>
      <c r="I12" s="7"/>
    </row>
    <row r="13" customFormat="false" ht="15" hidden="false" customHeight="false" outlineLevel="0" collapsed="false">
      <c r="A13" s="7" t="s">
        <v>81</v>
      </c>
      <c r="B13" s="8" t="n">
        <f aca="false">100-SUM(C13:E13)</f>
        <v>88.62</v>
      </c>
      <c r="C13" s="9" t="n">
        <v>1.63</v>
      </c>
      <c r="D13" s="9" t="n">
        <v>2.74</v>
      </c>
      <c r="E13" s="9" t="n">
        <v>7.01</v>
      </c>
      <c r="F13" s="7" t="n">
        <v>20.01</v>
      </c>
      <c r="G13" s="7" t="n">
        <v>11.4</v>
      </c>
      <c r="H13" s="10" t="b">
        <f aca="false">TRUE()</f>
        <v>1</v>
      </c>
      <c r="I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5"/>
    <col collapsed="false" customWidth="true" hidden="false" outlineLevel="0" max="9" min="9" style="0" width="22"/>
  </cols>
  <sheetData>
    <row r="1" customFormat="false" ht="30" hidden="false" customHeight="true" outlineLevel="0" collapsed="false">
      <c r="A1" s="6" t="s">
        <v>65</v>
      </c>
      <c r="B1" s="6" t="s">
        <v>19</v>
      </c>
      <c r="C1" s="6" t="s">
        <v>26</v>
      </c>
      <c r="D1" s="6" t="s">
        <v>39</v>
      </c>
      <c r="E1" s="6" t="s">
        <v>49</v>
      </c>
      <c r="F1" s="6" t="s">
        <v>66</v>
      </c>
      <c r="G1" s="6" t="s">
        <v>82</v>
      </c>
      <c r="H1" s="6" t="s">
        <v>68</v>
      </c>
      <c r="I1" s="6" t="s">
        <v>18</v>
      </c>
    </row>
    <row r="2" customFormat="false" ht="15" hidden="false" customHeight="false" outlineLevel="0" collapsed="false">
      <c r="A2" s="7" t="s">
        <v>83</v>
      </c>
      <c r="B2" s="8" t="n">
        <f aca="false">100-SUM(C2:E2)</f>
        <v>91.72</v>
      </c>
      <c r="C2" s="9" t="n">
        <v>1.16</v>
      </c>
      <c r="D2" s="9" t="n">
        <v>4.91</v>
      </c>
      <c r="E2" s="9" t="n">
        <v>2.21</v>
      </c>
      <c r="F2" s="7" t="n">
        <v>9.93</v>
      </c>
      <c r="G2" s="7" t="n">
        <v>17</v>
      </c>
      <c r="H2" s="10" t="b">
        <f aca="false">TRUE()</f>
        <v>1</v>
      </c>
      <c r="I2" s="7"/>
    </row>
    <row r="3" customFormat="false" ht="15" hidden="false" customHeight="false" outlineLevel="0" collapsed="false">
      <c r="A3" s="7" t="s">
        <v>84</v>
      </c>
      <c r="B3" s="8" t="n">
        <f aca="false">100-SUM(C3:E3)</f>
        <v>93.57</v>
      </c>
      <c r="C3" s="9" t="n">
        <v>1.11</v>
      </c>
      <c r="D3" s="9" t="n">
        <v>4.37</v>
      </c>
      <c r="E3" s="9" t="n">
        <v>0.95</v>
      </c>
      <c r="F3" s="7" t="n">
        <v>0.53</v>
      </c>
      <c r="G3" s="7"/>
      <c r="H3" s="10" t="b">
        <f aca="false">FALSE()</f>
        <v>0</v>
      </c>
      <c r="I3" s="7" t="s">
        <v>70</v>
      </c>
    </row>
    <row r="4" customFormat="false" ht="15" hidden="false" customHeight="false" outlineLevel="0" collapsed="false">
      <c r="A4" s="7" t="s">
        <v>85</v>
      </c>
      <c r="B4" s="8" t="n">
        <f aca="false">100-SUM(C4:E4)</f>
        <v>91.57</v>
      </c>
      <c r="C4" s="9" t="n">
        <v>2.97</v>
      </c>
      <c r="D4" s="9" t="n">
        <v>1.58</v>
      </c>
      <c r="E4" s="9" t="n">
        <v>3.88</v>
      </c>
      <c r="F4" s="7" t="n">
        <v>20.92</v>
      </c>
      <c r="G4" s="7" t="n">
        <v>35</v>
      </c>
      <c r="H4" s="10" t="b">
        <f aca="false">TRUE()</f>
        <v>1</v>
      </c>
      <c r="I4" s="7"/>
    </row>
    <row r="5" customFormat="false" ht="15" hidden="false" customHeight="false" outlineLevel="0" collapsed="false">
      <c r="A5" s="7" t="s">
        <v>86</v>
      </c>
      <c r="B5" s="8" t="n">
        <f aca="false">100-SUM(C5:E5)</f>
        <v>92.86</v>
      </c>
      <c r="C5" s="9" t="n">
        <v>3.29</v>
      </c>
      <c r="D5" s="9" t="n">
        <v>1.65</v>
      </c>
      <c r="E5" s="9" t="n">
        <v>2.2</v>
      </c>
      <c r="F5" s="7" t="n">
        <v>1.17</v>
      </c>
      <c r="G5" s="7"/>
      <c r="H5" s="10" t="b">
        <f aca="false">FALSE()</f>
        <v>0</v>
      </c>
      <c r="I5" s="7" t="s">
        <v>70</v>
      </c>
    </row>
    <row r="6" customFormat="false" ht="15" hidden="false" customHeight="false" outlineLevel="0" collapsed="false">
      <c r="A6" s="7" t="s">
        <v>87</v>
      </c>
      <c r="B6" s="8" t="n">
        <f aca="false">100-SUM(C6:E6)</f>
        <v>91.99</v>
      </c>
      <c r="C6" s="9" t="n">
        <v>2.77</v>
      </c>
      <c r="D6" s="9" t="n">
        <v>0.61</v>
      </c>
      <c r="E6" s="9" t="n">
        <v>4.63</v>
      </c>
      <c r="F6" s="7" t="n">
        <v>1.73</v>
      </c>
      <c r="G6" s="7"/>
      <c r="H6" s="10" t="b">
        <f aca="false">FALSE()</f>
        <v>0</v>
      </c>
      <c r="I6" s="7" t="s">
        <v>70</v>
      </c>
    </row>
    <row r="7" customFormat="false" ht="15" hidden="false" customHeight="false" outlineLevel="0" collapsed="false">
      <c r="A7" s="7" t="s">
        <v>88</v>
      </c>
      <c r="B7" s="8" t="n">
        <f aca="false">100-SUM(C7:E7)</f>
        <v>91.39</v>
      </c>
      <c r="C7" s="9" t="n">
        <v>2.23</v>
      </c>
      <c r="D7" s="9" t="n">
        <v>4.8</v>
      </c>
      <c r="E7" s="9" t="n">
        <v>1.58</v>
      </c>
      <c r="F7" s="7" t="n">
        <v>17.08</v>
      </c>
      <c r="G7" s="7" t="n">
        <v>39</v>
      </c>
      <c r="H7" s="10" t="b">
        <f aca="false">TRUE()</f>
        <v>1</v>
      </c>
      <c r="I7" s="7"/>
    </row>
    <row r="8" customFormat="false" ht="15" hidden="false" customHeight="false" outlineLevel="0" collapsed="false">
      <c r="A8" s="7" t="s">
        <v>89</v>
      </c>
      <c r="B8" s="8" t="n">
        <f aca="false">100-SUM(C8:E8)</f>
        <v>92.57</v>
      </c>
      <c r="C8" s="9" t="n">
        <v>2.79</v>
      </c>
      <c r="D8" s="9" t="n">
        <v>1.26</v>
      </c>
      <c r="E8" s="9" t="n">
        <v>3.38</v>
      </c>
      <c r="F8" s="7" t="n">
        <v>1.32</v>
      </c>
      <c r="G8" s="7"/>
      <c r="H8" s="10" t="b">
        <f aca="false">FALSE()</f>
        <v>0</v>
      </c>
      <c r="I8" s="7" t="s">
        <v>70</v>
      </c>
    </row>
    <row r="9" customFormat="false" ht="15" hidden="false" customHeight="false" outlineLevel="0" collapsed="false">
      <c r="A9" s="7" t="s">
        <v>90</v>
      </c>
      <c r="B9" s="8" t="n">
        <f aca="false">100-SUM(C9:E9)</f>
        <v>89.86</v>
      </c>
      <c r="C9" s="9" t="n">
        <v>1.48</v>
      </c>
      <c r="D9" s="9" t="n">
        <v>5.63</v>
      </c>
      <c r="E9" s="9" t="n">
        <v>3.03</v>
      </c>
      <c r="F9" s="7" t="n">
        <v>14.66</v>
      </c>
      <c r="G9" s="7" t="n">
        <v>25</v>
      </c>
      <c r="H9" s="10" t="b">
        <f aca="false">TRUE()</f>
        <v>1</v>
      </c>
      <c r="I9" s="7"/>
    </row>
    <row r="10" customFormat="false" ht="15" hidden="false" customHeight="false" outlineLevel="0" collapsed="false">
      <c r="A10" s="7" t="s">
        <v>91</v>
      </c>
      <c r="B10" s="8" t="n">
        <f aca="false">100-SUM(C10:E10)</f>
        <v>95.27</v>
      </c>
      <c r="C10" s="9" t="n">
        <v>3.17</v>
      </c>
      <c r="D10" s="9" t="n">
        <v>0.79</v>
      </c>
      <c r="E10" s="9" t="n">
        <v>0.77</v>
      </c>
      <c r="F10" s="7" t="n">
        <v>0.51</v>
      </c>
      <c r="G10" s="7"/>
      <c r="H10" s="10" t="b">
        <f aca="false">FALSE()</f>
        <v>0</v>
      </c>
      <c r="I10" s="7" t="s">
        <v>70</v>
      </c>
    </row>
    <row r="11" customFormat="false" ht="15" hidden="false" customHeight="false" outlineLevel="0" collapsed="false">
      <c r="A11" s="7" t="s">
        <v>92</v>
      </c>
      <c r="B11" s="8" t="n">
        <f aca="false">100-SUM(C11:E11)</f>
        <v>92.48</v>
      </c>
      <c r="C11" s="9" t="n">
        <v>4.58</v>
      </c>
      <c r="D11" s="9" t="n">
        <v>1.77</v>
      </c>
      <c r="E11" s="9" t="n">
        <v>1.17</v>
      </c>
      <c r="F11" s="7" t="n">
        <v>1.38</v>
      </c>
      <c r="G11" s="7"/>
      <c r="H11" s="10" t="b">
        <f aca="false">FALSE()</f>
        <v>0</v>
      </c>
      <c r="I11" s="7" t="s">
        <v>70</v>
      </c>
    </row>
    <row r="12" customFormat="false" ht="15" hidden="false" customHeight="false" outlineLevel="0" collapsed="false">
      <c r="A12" s="7" t="s">
        <v>93</v>
      </c>
      <c r="B12" s="8" t="n">
        <f aca="false">100-SUM(C12:E12)</f>
        <v>88.37</v>
      </c>
      <c r="C12" s="9" t="n">
        <v>1.49</v>
      </c>
      <c r="D12" s="9" t="n">
        <v>5.71</v>
      </c>
      <c r="E12" s="9" t="n">
        <v>4.43</v>
      </c>
      <c r="F12" s="7" t="n">
        <v>18.55</v>
      </c>
      <c r="G12" s="7" t="n">
        <v>2</v>
      </c>
      <c r="H12" s="10" t="b">
        <f aca="false">TRUE()</f>
        <v>1</v>
      </c>
      <c r="I12" s="7"/>
    </row>
    <row r="13" customFormat="false" ht="15" hidden="false" customHeight="false" outlineLevel="0" collapsed="false">
      <c r="A13" s="7" t="s">
        <v>94</v>
      </c>
      <c r="B13" s="8" t="n">
        <f aca="false">100-SUM(C13:E13)</f>
        <v>94.1</v>
      </c>
      <c r="C13" s="9" t="n">
        <v>1.91</v>
      </c>
      <c r="D13" s="9" t="n">
        <v>2.47</v>
      </c>
      <c r="E13" s="9" t="n">
        <v>1.52</v>
      </c>
      <c r="F13" s="7" t="n">
        <v>0.88</v>
      </c>
      <c r="G13" s="7"/>
      <c r="H13" s="10" t="b">
        <f aca="false">FALSE()</f>
        <v>0</v>
      </c>
      <c r="I13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5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6" t="s">
        <v>65</v>
      </c>
      <c r="B1" s="6" t="s">
        <v>19</v>
      </c>
      <c r="C1" s="6" t="s">
        <v>29</v>
      </c>
      <c r="D1" s="6" t="s">
        <v>42</v>
      </c>
      <c r="E1" s="6" t="s">
        <v>52</v>
      </c>
      <c r="F1" s="6" t="s">
        <v>55</v>
      </c>
      <c r="G1" s="6" t="s">
        <v>66</v>
      </c>
      <c r="H1" s="6" t="s">
        <v>95</v>
      </c>
      <c r="I1" s="6" t="s">
        <v>68</v>
      </c>
      <c r="J1" s="6" t="s">
        <v>18</v>
      </c>
    </row>
    <row r="2" customFormat="false" ht="15" hidden="false" customHeight="false" outlineLevel="0" collapsed="false">
      <c r="A2" s="7" t="s">
        <v>96</v>
      </c>
      <c r="B2" s="8" t="n">
        <f aca="false">100-SUM(C2:F2)</f>
        <v>87.08</v>
      </c>
      <c r="C2" s="9" t="n">
        <v>2.54</v>
      </c>
      <c r="D2" s="9" t="n">
        <v>1.12</v>
      </c>
      <c r="E2" s="9" t="n">
        <v>4.9</v>
      </c>
      <c r="F2" s="9" t="n">
        <v>4.36</v>
      </c>
      <c r="G2" s="7" t="n">
        <v>33</v>
      </c>
      <c r="H2" s="7" t="n">
        <v>54</v>
      </c>
      <c r="I2" s="10" t="b">
        <f aca="false">TRUE()</f>
        <v>1</v>
      </c>
      <c r="J2" s="7"/>
    </row>
    <row r="3" customFormat="false" ht="15" hidden="false" customHeight="false" outlineLevel="0" collapsed="false">
      <c r="A3" s="7" t="s">
        <v>97</v>
      </c>
      <c r="B3" s="8" t="n">
        <f aca="false">100-SUM(C3:F3)</f>
        <v>92.82</v>
      </c>
      <c r="C3" s="9" t="n">
        <v>2.77</v>
      </c>
      <c r="D3" s="9" t="n">
        <v>0.52</v>
      </c>
      <c r="E3" s="9" t="n">
        <v>1.33</v>
      </c>
      <c r="F3" s="9" t="n">
        <v>2.56</v>
      </c>
      <c r="G3" s="7" t="n">
        <v>1.04</v>
      </c>
      <c r="H3" s="7" t="n">
        <v>70</v>
      </c>
      <c r="I3" s="10" t="b">
        <f aca="false">FALSE()</f>
        <v>0</v>
      </c>
      <c r="J3" s="7" t="s">
        <v>70</v>
      </c>
    </row>
    <row r="4" customFormat="false" ht="15" hidden="false" customHeight="false" outlineLevel="0" collapsed="false">
      <c r="A4" s="7" t="s">
        <v>98</v>
      </c>
      <c r="B4" s="8" t="n">
        <f aca="false">100-SUM(C4:F4)</f>
        <v>90.27</v>
      </c>
      <c r="C4" s="9" t="n">
        <v>2.36</v>
      </c>
      <c r="D4" s="9" t="n">
        <v>1.7</v>
      </c>
      <c r="E4" s="9" t="n">
        <v>1.08</v>
      </c>
      <c r="F4" s="9" t="n">
        <v>4.59</v>
      </c>
      <c r="G4" s="7" t="n">
        <v>24.33</v>
      </c>
      <c r="H4" s="7" t="n">
        <v>62</v>
      </c>
      <c r="I4" s="10" t="b">
        <f aca="false">TRUE()</f>
        <v>1</v>
      </c>
      <c r="J4" s="7"/>
    </row>
    <row r="5" customFormat="false" ht="15" hidden="false" customHeight="false" outlineLevel="0" collapsed="false">
      <c r="A5" s="7" t="s">
        <v>99</v>
      </c>
      <c r="B5" s="8" t="n">
        <f aca="false">100-SUM(C5:F5)</f>
        <v>91.82</v>
      </c>
      <c r="C5" s="9" t="n">
        <v>0.83</v>
      </c>
      <c r="D5" s="9" t="n">
        <v>1.53</v>
      </c>
      <c r="E5" s="9" t="n">
        <v>1.48</v>
      </c>
      <c r="F5" s="9" t="n">
        <v>4.34</v>
      </c>
      <c r="G5" s="7" t="n">
        <v>8.19</v>
      </c>
      <c r="H5" s="7" t="n">
        <v>71</v>
      </c>
      <c r="I5" s="10" t="b">
        <f aca="false">TRUE()</f>
        <v>1</v>
      </c>
      <c r="J5" s="7"/>
    </row>
    <row r="6" customFormat="false" ht="15" hidden="false" customHeight="false" outlineLevel="0" collapsed="false">
      <c r="A6" s="7" t="s">
        <v>100</v>
      </c>
      <c r="B6" s="8" t="n">
        <f aca="false">100-SUM(C6:F6)</f>
        <v>92.18</v>
      </c>
      <c r="C6" s="9" t="n">
        <v>0.95</v>
      </c>
      <c r="D6" s="9" t="n">
        <v>0.27</v>
      </c>
      <c r="E6" s="9" t="n">
        <v>2.14</v>
      </c>
      <c r="F6" s="9" t="n">
        <v>4.46</v>
      </c>
      <c r="G6" s="7" t="n">
        <v>0.88</v>
      </c>
      <c r="H6" s="7" t="n">
        <v>85</v>
      </c>
      <c r="I6" s="10" t="b">
        <f aca="false">FALSE()</f>
        <v>0</v>
      </c>
      <c r="J6" s="7" t="s">
        <v>70</v>
      </c>
    </row>
    <row r="7" customFormat="false" ht="15" hidden="false" customHeight="false" outlineLevel="0" collapsed="false">
      <c r="A7" s="7" t="s">
        <v>101</v>
      </c>
      <c r="B7" s="8" t="n">
        <f aca="false">100-SUM(C7:F7)</f>
        <v>89.37</v>
      </c>
      <c r="C7" s="9" t="n">
        <v>2.97</v>
      </c>
      <c r="D7" s="9" t="n">
        <v>1.07</v>
      </c>
      <c r="E7" s="9" t="n">
        <v>4.81</v>
      </c>
      <c r="F7" s="9" t="n">
        <v>1.78</v>
      </c>
      <c r="G7" s="7" t="n">
        <v>26.73</v>
      </c>
      <c r="H7" s="7" t="n">
        <v>77</v>
      </c>
      <c r="I7" s="10" t="b">
        <f aca="false">TRUE()</f>
        <v>1</v>
      </c>
      <c r="J7" s="7"/>
    </row>
    <row r="8" customFormat="false" ht="15" hidden="false" customHeight="false" outlineLevel="0" collapsed="false">
      <c r="A8" s="7" t="s">
        <v>102</v>
      </c>
      <c r="B8" s="8" t="n">
        <f aca="false">100-SUM(C8:F8)</f>
        <v>89.69</v>
      </c>
      <c r="C8" s="9" t="n">
        <v>1.93</v>
      </c>
      <c r="D8" s="9" t="n">
        <v>1.76</v>
      </c>
      <c r="E8" s="9" t="n">
        <v>2.1</v>
      </c>
      <c r="F8" s="9" t="n">
        <v>4.52</v>
      </c>
      <c r="G8" s="7" t="n">
        <v>21.26</v>
      </c>
      <c r="H8" s="7" t="n">
        <v>74</v>
      </c>
      <c r="I8" s="10" t="b">
        <f aca="false">TRUE()</f>
        <v>1</v>
      </c>
      <c r="J8" s="7"/>
    </row>
    <row r="9" customFormat="false" ht="15" hidden="false" customHeight="false" outlineLevel="0" collapsed="false">
      <c r="A9" s="7" t="s">
        <v>103</v>
      </c>
      <c r="B9" s="8" t="n">
        <f aca="false">100-SUM(C9:F9)</f>
        <v>92.05</v>
      </c>
      <c r="C9" s="9" t="n">
        <v>2.59</v>
      </c>
      <c r="D9" s="9" t="n">
        <v>0.89</v>
      </c>
      <c r="E9" s="9" t="n">
        <v>1.14</v>
      </c>
      <c r="F9" s="9" t="n">
        <v>3.33</v>
      </c>
      <c r="G9" s="7" t="n">
        <v>1.37</v>
      </c>
      <c r="H9" s="7" t="n">
        <v>75</v>
      </c>
      <c r="I9" s="10" t="b">
        <f aca="false">FALSE()</f>
        <v>0</v>
      </c>
      <c r="J9" s="7" t="s">
        <v>70</v>
      </c>
    </row>
    <row r="10" customFormat="false" ht="15" hidden="false" customHeight="false" outlineLevel="0" collapsed="false">
      <c r="A10" s="7" t="s">
        <v>104</v>
      </c>
      <c r="B10" s="8" t="n">
        <f aca="false">100-SUM(C10:F10)</f>
        <v>88.75</v>
      </c>
      <c r="C10" s="9" t="n">
        <v>2.37</v>
      </c>
      <c r="D10" s="9" t="n">
        <v>1.93</v>
      </c>
      <c r="E10" s="9" t="n">
        <v>3.65</v>
      </c>
      <c r="F10" s="9" t="n">
        <v>3.3</v>
      </c>
      <c r="G10" s="7" t="n">
        <v>25.64</v>
      </c>
      <c r="H10" s="7" t="n">
        <v>68</v>
      </c>
      <c r="I10" s="10" t="b">
        <f aca="false">TRUE()</f>
        <v>1</v>
      </c>
      <c r="J10" s="7"/>
    </row>
    <row r="11" customFormat="false" ht="15" hidden="false" customHeight="false" outlineLevel="0" collapsed="false">
      <c r="A11" s="7" t="s">
        <v>105</v>
      </c>
      <c r="B11" s="8" t="n">
        <f aca="false">100-SUM(C11:F11)</f>
        <v>88.76</v>
      </c>
      <c r="C11" s="9" t="n">
        <v>1.88</v>
      </c>
      <c r="D11" s="9" t="n">
        <v>1.36</v>
      </c>
      <c r="E11" s="9" t="n">
        <v>3.62</v>
      </c>
      <c r="F11" s="9" t="n">
        <v>4.38</v>
      </c>
      <c r="G11" s="7" t="n">
        <v>23.06</v>
      </c>
      <c r="H11" s="7" t="n">
        <v>94</v>
      </c>
      <c r="I11" s="10" t="b">
        <f aca="false">TRUE()</f>
        <v>1</v>
      </c>
      <c r="J11" s="7"/>
    </row>
    <row r="12" customFormat="false" ht="15" hidden="false" customHeight="false" outlineLevel="0" collapsed="false">
      <c r="A12" s="7" t="s">
        <v>106</v>
      </c>
      <c r="B12" s="8" t="n">
        <f aca="false">100-SUM(C12:F12)</f>
        <v>91.4</v>
      </c>
      <c r="C12" s="9" t="n">
        <v>2.12</v>
      </c>
      <c r="D12" s="9" t="n">
        <v>0.43</v>
      </c>
      <c r="E12" s="9" t="n">
        <v>2.24</v>
      </c>
      <c r="F12" s="9" t="n">
        <v>3.81</v>
      </c>
      <c r="G12" s="7" t="n">
        <v>1.22</v>
      </c>
      <c r="H12" s="7" t="n">
        <v>92</v>
      </c>
      <c r="I12" s="10" t="b">
        <f aca="false">FALSE()</f>
        <v>0</v>
      </c>
      <c r="J12" s="7" t="s">
        <v>70</v>
      </c>
    </row>
    <row r="13" customFormat="false" ht="15" hidden="false" customHeight="false" outlineLevel="0" collapsed="false">
      <c r="A13" s="7" t="s">
        <v>107</v>
      </c>
      <c r="B13" s="8" t="n">
        <f aca="false">100-SUM(C13:F13)</f>
        <v>92.02</v>
      </c>
      <c r="C13" s="9" t="n">
        <v>2.82</v>
      </c>
      <c r="D13" s="9" t="n">
        <v>1.08</v>
      </c>
      <c r="E13" s="9" t="n">
        <v>2.37</v>
      </c>
      <c r="F13" s="9" t="n">
        <v>1.71</v>
      </c>
      <c r="G13" s="7" t="n">
        <v>1.41</v>
      </c>
      <c r="H13" s="7" t="n">
        <v>88</v>
      </c>
      <c r="I13" s="10" t="b">
        <f aca="false">FALSE()</f>
        <v>0</v>
      </c>
      <c r="J13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5"/>
    <col collapsed="false" customWidth="true" hidden="false" outlineLevel="0" max="13" min="13" style="0" width="22"/>
  </cols>
  <sheetData>
    <row r="1" customFormat="false" ht="30" hidden="false" customHeight="true" outlineLevel="0" collapsed="false">
      <c r="A1" s="6" t="s">
        <v>65</v>
      </c>
      <c r="B1" s="6" t="s">
        <v>19</v>
      </c>
      <c r="C1" s="6" t="s">
        <v>22</v>
      </c>
      <c r="D1" s="6" t="s">
        <v>32</v>
      </c>
      <c r="E1" s="6" t="s">
        <v>35</v>
      </c>
      <c r="F1" s="6" t="s">
        <v>39</v>
      </c>
      <c r="G1" s="6" t="s">
        <v>58</v>
      </c>
      <c r="H1" s="6" t="s">
        <v>61</v>
      </c>
      <c r="I1" s="6" t="s">
        <v>66</v>
      </c>
      <c r="J1" s="6" t="s">
        <v>67</v>
      </c>
      <c r="K1" s="6" t="s">
        <v>95</v>
      </c>
      <c r="L1" s="6" t="s">
        <v>68</v>
      </c>
      <c r="M1" s="6" t="s">
        <v>18</v>
      </c>
    </row>
    <row r="2" customFormat="false" ht="15" hidden="false" customHeight="false" outlineLevel="0" collapsed="false">
      <c r="A2" s="7" t="s">
        <v>108</v>
      </c>
      <c r="B2" s="8" t="n">
        <f aca="false">100-SUM(C2:H2)</f>
        <v>93.84</v>
      </c>
      <c r="C2" s="9" t="n">
        <v>0.51</v>
      </c>
      <c r="D2" s="9" t="n">
        <v>0.25</v>
      </c>
      <c r="E2" s="9" t="n">
        <v>2.2</v>
      </c>
      <c r="F2" s="9" t="n">
        <v>0.35</v>
      </c>
      <c r="G2" s="9" t="n">
        <v>1.54</v>
      </c>
      <c r="H2" s="9" t="n">
        <v>1.31</v>
      </c>
      <c r="I2" s="7" t="n">
        <v>0.16</v>
      </c>
      <c r="J2" s="7" t="n">
        <v>5.3</v>
      </c>
      <c r="K2" s="7" t="n">
        <v>56</v>
      </c>
      <c r="L2" s="10" t="b">
        <f aca="false">FALSE()</f>
        <v>0</v>
      </c>
      <c r="M2" s="7" t="s">
        <v>70</v>
      </c>
    </row>
    <row r="3" customFormat="false" ht="15" hidden="false" customHeight="false" outlineLevel="0" collapsed="false">
      <c r="A3" s="7" t="s">
        <v>109</v>
      </c>
      <c r="B3" s="8" t="n">
        <f aca="false">100-SUM(C3:H3)</f>
        <v>86.83</v>
      </c>
      <c r="C3" s="9" t="n">
        <v>1.39</v>
      </c>
      <c r="D3" s="9" t="n">
        <v>0.88</v>
      </c>
      <c r="E3" s="9" t="n">
        <v>1.73</v>
      </c>
      <c r="F3" s="9" t="n">
        <v>0.35</v>
      </c>
      <c r="G3" s="9" t="n">
        <v>3.85</v>
      </c>
      <c r="H3" s="9" t="n">
        <v>4.97</v>
      </c>
      <c r="I3" s="7" t="n">
        <v>18.48</v>
      </c>
      <c r="J3" s="7" t="n">
        <v>7.3</v>
      </c>
      <c r="K3" s="7" t="n">
        <v>94</v>
      </c>
      <c r="L3" s="10" t="b">
        <f aca="false">TRUE()</f>
        <v>1</v>
      </c>
      <c r="M3" s="7"/>
    </row>
    <row r="4" customFormat="false" ht="15" hidden="false" customHeight="false" outlineLevel="0" collapsed="false">
      <c r="A4" s="7" t="s">
        <v>110</v>
      </c>
      <c r="B4" s="8" t="n">
        <f aca="false">100-SUM(C4:H4)</f>
        <v>90.81</v>
      </c>
      <c r="C4" s="9" t="n">
        <v>0.63</v>
      </c>
      <c r="D4" s="9" t="n">
        <v>0.71</v>
      </c>
      <c r="E4" s="9" t="n">
        <v>1.55</v>
      </c>
      <c r="F4" s="9" t="n">
        <v>1.52</v>
      </c>
      <c r="G4" s="9" t="n">
        <v>2.88</v>
      </c>
      <c r="H4" s="9" t="n">
        <v>1.9</v>
      </c>
      <c r="I4" s="7" t="n">
        <v>10.1</v>
      </c>
      <c r="J4" s="7" t="n">
        <v>14.3</v>
      </c>
      <c r="K4" s="7" t="n">
        <v>81</v>
      </c>
      <c r="L4" s="10" t="b">
        <f aca="false">TRUE()</f>
        <v>1</v>
      </c>
      <c r="M4" s="7"/>
    </row>
    <row r="5" customFormat="false" ht="15" hidden="false" customHeight="false" outlineLevel="0" collapsed="false">
      <c r="A5" s="7" t="s">
        <v>111</v>
      </c>
      <c r="B5" s="8" t="n">
        <f aca="false">100-SUM(C5:H5)</f>
        <v>93.2</v>
      </c>
      <c r="C5" s="9" t="n">
        <v>0.41</v>
      </c>
      <c r="D5" s="9" t="n">
        <v>0.53</v>
      </c>
      <c r="E5" s="9" t="n">
        <v>0.09</v>
      </c>
      <c r="F5" s="9" t="n">
        <v>1.21</v>
      </c>
      <c r="G5" s="9" t="n">
        <v>3.09</v>
      </c>
      <c r="H5" s="9" t="n">
        <v>1.47</v>
      </c>
      <c r="I5" s="7" t="n">
        <v>0.42</v>
      </c>
      <c r="J5" s="7" t="n">
        <v>13.8</v>
      </c>
      <c r="K5" s="7" t="n">
        <v>48</v>
      </c>
      <c r="L5" s="10" t="b">
        <f aca="false">FALSE()</f>
        <v>0</v>
      </c>
      <c r="M5" s="7" t="s">
        <v>70</v>
      </c>
    </row>
    <row r="6" customFormat="false" ht="15" hidden="false" customHeight="false" outlineLevel="0" collapsed="false">
      <c r="A6" s="7" t="s">
        <v>112</v>
      </c>
      <c r="B6" s="8" t="n">
        <f aca="false">100-SUM(C6:H6)</f>
        <v>89.74</v>
      </c>
      <c r="C6" s="9" t="n">
        <v>0.19</v>
      </c>
      <c r="D6" s="9" t="n">
        <v>0.19</v>
      </c>
      <c r="E6" s="9" t="n">
        <v>0.86</v>
      </c>
      <c r="F6" s="9" t="n">
        <v>2.42</v>
      </c>
      <c r="G6" s="9" t="n">
        <v>4.41</v>
      </c>
      <c r="H6" s="9" t="n">
        <v>2.19</v>
      </c>
      <c r="I6" s="7" t="n">
        <v>0.19</v>
      </c>
      <c r="J6" s="7" t="n">
        <v>14</v>
      </c>
      <c r="K6" s="7" t="n">
        <v>89</v>
      </c>
      <c r="L6" s="10" t="b">
        <f aca="false">FALSE()</f>
        <v>0</v>
      </c>
      <c r="M6" s="7" t="s">
        <v>70</v>
      </c>
    </row>
    <row r="7" customFormat="false" ht="15" hidden="false" customHeight="false" outlineLevel="0" collapsed="false">
      <c r="A7" s="7" t="s">
        <v>113</v>
      </c>
      <c r="B7" s="8" t="n">
        <f aca="false">100-SUM(C7:H7)</f>
        <v>89</v>
      </c>
      <c r="C7" s="9" t="n">
        <v>1.05</v>
      </c>
      <c r="D7" s="9" t="n">
        <v>0.01</v>
      </c>
      <c r="E7" s="9" t="n">
        <v>1.49</v>
      </c>
      <c r="F7" s="9" t="n">
        <v>0.65</v>
      </c>
      <c r="G7" s="9" t="n">
        <v>4.69</v>
      </c>
      <c r="H7" s="9" t="n">
        <v>3.11</v>
      </c>
      <c r="I7" s="7" t="n">
        <v>9.68</v>
      </c>
      <c r="J7" s="7" t="n">
        <v>16.3</v>
      </c>
      <c r="K7" s="7" t="n">
        <v>94</v>
      </c>
      <c r="L7" s="10" t="b">
        <f aca="false">TRUE()</f>
        <v>1</v>
      </c>
      <c r="M7" s="7"/>
    </row>
    <row r="8" customFormat="false" ht="15" hidden="false" customHeight="false" outlineLevel="0" collapsed="false">
      <c r="A8" s="7" t="s">
        <v>114</v>
      </c>
      <c r="B8" s="8" t="n">
        <f aca="false">100-SUM(C8:H8)</f>
        <v>91.76</v>
      </c>
      <c r="C8" s="9" t="n">
        <v>1.47</v>
      </c>
      <c r="D8" s="9" t="n">
        <v>0.23</v>
      </c>
      <c r="E8" s="9" t="n">
        <v>1.07</v>
      </c>
      <c r="F8" s="9" t="n">
        <v>0.21</v>
      </c>
      <c r="G8" s="9" t="n">
        <v>3</v>
      </c>
      <c r="H8" s="9" t="n">
        <v>2.26</v>
      </c>
      <c r="I8" s="7" t="n">
        <v>0.84</v>
      </c>
      <c r="J8" s="7" t="n">
        <v>3.6</v>
      </c>
      <c r="K8" s="7" t="n">
        <v>71</v>
      </c>
      <c r="L8" s="10" t="b">
        <f aca="false">FALSE()</f>
        <v>0</v>
      </c>
      <c r="M8" s="7" t="s">
        <v>70</v>
      </c>
    </row>
    <row r="9" customFormat="false" ht="15" hidden="false" customHeight="false" outlineLevel="0" collapsed="false">
      <c r="A9" s="7" t="s">
        <v>115</v>
      </c>
      <c r="B9" s="8" t="n">
        <f aca="false">100-SUM(C9:H9)</f>
        <v>92.73</v>
      </c>
      <c r="C9" s="9" t="n">
        <v>0.56</v>
      </c>
      <c r="D9" s="9" t="n">
        <v>0.43</v>
      </c>
      <c r="E9" s="9" t="n">
        <v>1.92</v>
      </c>
      <c r="F9" s="9" t="n">
        <v>1.26</v>
      </c>
      <c r="G9" s="9" t="n">
        <v>1.09</v>
      </c>
      <c r="H9" s="9" t="n">
        <v>2.01</v>
      </c>
      <c r="I9" s="7" t="n">
        <v>0.47</v>
      </c>
      <c r="J9" s="7" t="n">
        <v>7.7</v>
      </c>
      <c r="K9" s="7" t="n">
        <v>55</v>
      </c>
      <c r="L9" s="10" t="b">
        <f aca="false">FALSE()</f>
        <v>0</v>
      </c>
      <c r="M9" s="7" t="s">
        <v>70</v>
      </c>
    </row>
    <row r="10" customFormat="false" ht="15" hidden="false" customHeight="false" outlineLevel="0" collapsed="false">
      <c r="A10" s="7" t="s">
        <v>116</v>
      </c>
      <c r="B10" s="8" t="n">
        <f aca="false">100-SUM(C10:H10)</f>
        <v>89.48</v>
      </c>
      <c r="C10" s="9" t="n">
        <v>0.01</v>
      </c>
      <c r="D10" s="9" t="n">
        <v>0.57</v>
      </c>
      <c r="E10" s="9" t="n">
        <v>0.54</v>
      </c>
      <c r="F10" s="9" t="n">
        <v>0.83</v>
      </c>
      <c r="G10" s="9" t="n">
        <v>4.12</v>
      </c>
      <c r="H10" s="9" t="n">
        <v>4.45</v>
      </c>
      <c r="I10" s="7" t="n">
        <v>0.4</v>
      </c>
      <c r="J10" s="7" t="n">
        <v>7.4</v>
      </c>
      <c r="K10" s="7" t="n">
        <v>59</v>
      </c>
      <c r="L10" s="10" t="b">
        <f aca="false">FALSE()</f>
        <v>0</v>
      </c>
      <c r="M10" s="7" t="s">
        <v>70</v>
      </c>
    </row>
    <row r="11" customFormat="false" ht="15" hidden="false" customHeight="false" outlineLevel="0" collapsed="false">
      <c r="A11" s="7" t="s">
        <v>117</v>
      </c>
      <c r="B11" s="8" t="n">
        <f aca="false">100-SUM(C11:H11)</f>
        <v>91.04</v>
      </c>
      <c r="C11" s="9" t="n">
        <v>1.44</v>
      </c>
      <c r="D11" s="9" t="n">
        <v>0.01</v>
      </c>
      <c r="E11" s="9" t="n">
        <v>1.85</v>
      </c>
      <c r="F11" s="9" t="n">
        <v>2.36</v>
      </c>
      <c r="G11" s="9" t="n">
        <v>2.38</v>
      </c>
      <c r="H11" s="9" t="n">
        <v>0.92</v>
      </c>
      <c r="I11" s="7" t="n">
        <v>8.66</v>
      </c>
      <c r="J11" s="7" t="n">
        <v>4.3</v>
      </c>
      <c r="K11" s="7" t="n">
        <v>99</v>
      </c>
      <c r="L11" s="10" t="b">
        <f aca="false">TRUE()</f>
        <v>1</v>
      </c>
      <c r="M11" s="7"/>
    </row>
    <row r="12" customFormat="false" ht="15" hidden="false" customHeight="false" outlineLevel="0" collapsed="false">
      <c r="A12" s="7" t="s">
        <v>118</v>
      </c>
      <c r="B12" s="8" t="n">
        <f aca="false">100-SUM(C12:H12)</f>
        <v>91.41</v>
      </c>
      <c r="C12" s="9" t="n">
        <v>0.55</v>
      </c>
      <c r="D12" s="9" t="n">
        <v>0.09</v>
      </c>
      <c r="E12" s="9" t="n">
        <v>1.31</v>
      </c>
      <c r="F12" s="9" t="n">
        <v>1.85</v>
      </c>
      <c r="G12" s="9" t="n">
        <v>2.97</v>
      </c>
      <c r="H12" s="9" t="n">
        <v>1.82</v>
      </c>
      <c r="I12" s="7" t="n">
        <v>5.54</v>
      </c>
      <c r="J12" s="7" t="n">
        <v>18.1</v>
      </c>
      <c r="K12" s="7" t="n">
        <v>75</v>
      </c>
      <c r="L12" s="10" t="b">
        <f aca="false">TRUE()</f>
        <v>1</v>
      </c>
      <c r="M12" s="7"/>
    </row>
    <row r="13" customFormat="false" ht="15" hidden="false" customHeight="false" outlineLevel="0" collapsed="false">
      <c r="A13" s="7" t="s">
        <v>119</v>
      </c>
      <c r="B13" s="8" t="n">
        <f aca="false">100-SUM(C13:H13)</f>
        <v>93.42</v>
      </c>
      <c r="C13" s="9" t="n">
        <v>0.19</v>
      </c>
      <c r="D13" s="9" t="n">
        <v>0.73</v>
      </c>
      <c r="E13" s="9" t="n">
        <v>1.73</v>
      </c>
      <c r="F13" s="9" t="n">
        <v>0.43</v>
      </c>
      <c r="G13" s="9" t="n">
        <v>1.95</v>
      </c>
      <c r="H13" s="9" t="n">
        <v>1.55</v>
      </c>
      <c r="I13" s="7" t="n">
        <v>0.29</v>
      </c>
      <c r="J13" s="7" t="n">
        <v>8.3</v>
      </c>
      <c r="K13" s="7" t="n">
        <v>87</v>
      </c>
      <c r="L13" s="10" t="b">
        <f aca="false">FALSE()</f>
        <v>0</v>
      </c>
      <c r="M13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2026-10-17T00:11:58Z</dcterms:created>
  <dc:creator>openpyxl</dc:creator>
  <dc:description/>
  <dc:language>en-US</dc:language>
  <cp:lastModifiedBy/>
  <dcterms:modified xsi:type="dcterms:W3CDTF">2026-10-17T00:11:58Z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